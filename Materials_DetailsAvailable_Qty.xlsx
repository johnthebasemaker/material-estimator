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sonandrew/Downloads/CNCEC RL and BL Material Prediction Project/"/>
    </mc:Choice>
  </mc:AlternateContent>
  <xr:revisionPtr revIDLastSave="0" documentId="13_ncr:1_{6BD39D4C-D549-844C-A0EA-2348A22A49D9}" xr6:coauthVersionLast="47" xr6:coauthVersionMax="47" xr10:uidLastSave="{00000000-0000-0000-0000-000000000000}"/>
  <bookViews>
    <workbookView xWindow="2900" yWindow="3100" windowWidth="19420" windowHeight="11020" xr2:uid="{90263BA2-E30A-4598-B8D1-B7923144A5FA}"/>
  </bookViews>
  <sheets>
    <sheet name="Materials" sheetId="1" r:id="rId1"/>
  </sheets>
  <definedNames>
    <definedName name="_xlnm._FilterDatabase" localSheetId="0" hidden="1">Materials!$A$1:$L$29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J6" i="1"/>
  <c r="K6" i="1" s="1"/>
  <c r="J5" i="1"/>
  <c r="K5" i="1" s="1"/>
  <c r="K4" i="1"/>
  <c r="J3" i="1"/>
  <c r="K3" i="1" s="1"/>
  <c r="J2" i="1"/>
  <c r="K2" i="1" s="1"/>
</calcChain>
</file>

<file path=xl/sharedStrings.xml><?xml version="1.0" encoding="utf-8"?>
<sst xmlns="http://schemas.openxmlformats.org/spreadsheetml/2006/main" count="197" uniqueCount="76">
  <si>
    <t>Item</t>
  </si>
  <si>
    <t>Vendor/supplying plant</t>
  </si>
  <si>
    <t>Purchasing Document</t>
  </si>
  <si>
    <t>Document Date</t>
  </si>
  <si>
    <t>Nature</t>
  </si>
  <si>
    <t>Received Quantity</t>
  </si>
  <si>
    <t>Balance To Be Received</t>
  </si>
  <si>
    <t>Balance Qty - Expected Delivery Date</t>
  </si>
  <si>
    <t>110341     CARBORUNDUM UNIVERSAL LIMITED</t>
  </si>
  <si>
    <t>4720002728</t>
  </si>
  <si>
    <t>GI-8003100</t>
  </si>
  <si>
    <t>CUMIFURAN SYRUP LIQUID RESIN</t>
  </si>
  <si>
    <t>Adhesive</t>
  </si>
  <si>
    <t>KG</t>
  </si>
  <si>
    <t>Order Complete</t>
  </si>
  <si>
    <t>GI-8003099</t>
  </si>
  <si>
    <t>CUMIFURAN FN POWDER</t>
  </si>
  <si>
    <t>GI-8005758</t>
  </si>
  <si>
    <t>CUMIBON 105 - 240X115X30MM</t>
  </si>
  <si>
    <t>Brick</t>
  </si>
  <si>
    <t>NO</t>
  </si>
  <si>
    <t>GI-8005759</t>
  </si>
  <si>
    <t>CUMIBON 105 - 240X115X63MM</t>
  </si>
  <si>
    <t>GI-8005760</t>
  </si>
  <si>
    <t>PHENACIN A SYRUP</t>
  </si>
  <si>
    <t>Production Clearance will be provided after getting Handover Confirmation due to limited shelf life</t>
  </si>
  <si>
    <t>GI-8005761</t>
  </si>
  <si>
    <t>PHENACIN ACP POWDER</t>
  </si>
  <si>
    <t>GI-8005762</t>
  </si>
  <si>
    <t>AR BRICKS - 230X115X30MM</t>
  </si>
  <si>
    <t>GI-8005763</t>
  </si>
  <si>
    <t>AR BRICKS - 230X115X40MM</t>
  </si>
  <si>
    <t>GI-8005764</t>
  </si>
  <si>
    <t>CUMIFLOOR ECO PRIMER</t>
  </si>
  <si>
    <t>KIT</t>
  </si>
  <si>
    <t>GI-8005765</t>
  </si>
  <si>
    <t>CUMICRETE PU MF 300 (3MM)</t>
  </si>
  <si>
    <t>GI-8005766</t>
  </si>
  <si>
    <t>CUMICRETE PU MF 300 (1MM)</t>
  </si>
  <si>
    <t>GI-8005767</t>
  </si>
  <si>
    <t>CUMICRETE PU MF 300 (5MM)</t>
  </si>
  <si>
    <t>110201     TIP TOP Oberflächenschutz Elbe GMBH</t>
  </si>
  <si>
    <t>4720002729</t>
  </si>
  <si>
    <t>GI-6002001</t>
  </si>
  <si>
    <t>CHEMOLINE 4 E CN - 4 x 1100 x 10000 mm (</t>
  </si>
  <si>
    <t>Rubber Sheet</t>
  </si>
  <si>
    <t>M2</t>
  </si>
  <si>
    <t>10-June-2026 - 4200 Sqm, Balance quantity ETA to be received from RTT</t>
  </si>
  <si>
    <t>We have Ex-Stock 1000 Sqm 4mm 4ECN Rubber Sheet &amp; Adhesive, which was bought for other project and same can be utilized to startup the job</t>
  </si>
  <si>
    <t>GI-6000012</t>
  </si>
  <si>
    <t>BC 3004 (9 KG)</t>
  </si>
  <si>
    <t>EA</t>
  </si>
  <si>
    <t>15-June-2026 - 30% Quantity, Balance quantity ETA to be received from RTT</t>
  </si>
  <si>
    <t>GI-6000005</t>
  </si>
  <si>
    <t>HARDENER E-40 30 GR</t>
  </si>
  <si>
    <t>GI-6000013</t>
  </si>
  <si>
    <t>PRIMER PR 304 - 10 KG</t>
  </si>
  <si>
    <t>GI-6002242</t>
  </si>
  <si>
    <t>CARBON FILLER - (25KG)</t>
  </si>
  <si>
    <t>BAG</t>
  </si>
  <si>
    <t>GI-6002243</t>
  </si>
  <si>
    <t>COROFLAKE EP PRIMER COMP A (14 KG)</t>
  </si>
  <si>
    <t>DR</t>
  </si>
  <si>
    <t>GI-6002244</t>
  </si>
  <si>
    <t>COROFLAKE EP PRIMER COMP B (7 KG)</t>
  </si>
  <si>
    <t>GI-6002245</t>
  </si>
  <si>
    <t>SOLVENT T200 - (8KG)</t>
  </si>
  <si>
    <t>GI-6002241</t>
  </si>
  <si>
    <t>SOLVENT CF-CE-(8.4KG)</t>
  </si>
  <si>
    <t>Material_Code</t>
  </si>
  <si>
    <t>UOM</t>
  </si>
  <si>
    <t>Available_Qty</t>
  </si>
  <si>
    <t>Material_Name</t>
  </si>
  <si>
    <t>GI-6000027</t>
  </si>
  <si>
    <t>Solvent</t>
  </si>
  <si>
    <t>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</si>
</sst>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2" fontId="0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top"/>
    </xf>
    <xf numFmtId="15" fontId="0" fillId="0" borderId="1" xfId="0" applyNumberForma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1" fillId="3" borderId="3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9B0C-0F3E-4981-9943-0CFD94A73998}">
  <sheetPr>
    <outlinePr summaryBelow="0"/>
  </sheetPr>
  <dimension ref="A1:N30"/>
  <sheetViews>
    <sheetView tabSelected="1" topLeftCell="B17" workbookViewId="0">
      <selection activeCell="F35" sqref="F35"/>
    </sheetView>
  </sheetViews>
  <sheetFormatPr baseColWidth="10" defaultColWidth="8.6640625" defaultRowHeight="13" x14ac:dyDescent="0.15"/>
  <cols>
    <col min="1" max="1" width="6" style="14" bestFit="1" customWidth="1"/>
    <col min="2" max="2" width="42.6640625" style="14" bestFit="1" customWidth="1"/>
    <col min="3" max="3" width="17.5" style="21" customWidth="1"/>
    <col min="4" max="4" width="11.5" style="21" customWidth="1"/>
    <col min="5" max="5" width="12.1640625" style="14" bestFit="1" customWidth="1"/>
    <col min="6" max="6" width="38.5" style="14" bestFit="1" customWidth="1"/>
    <col min="7" max="7" width="11.83203125" style="14" bestFit="1" customWidth="1"/>
    <col min="8" max="8" width="8.33203125" style="22" customWidth="1"/>
    <col min="9" max="9" width="18.33203125" style="23" bestFit="1" customWidth="1"/>
    <col min="10" max="10" width="21.1640625" style="23" hidden="1" customWidth="1"/>
    <col min="11" max="11" width="17.83203125" style="23" hidden="1" customWidth="1"/>
    <col min="12" max="12" width="81.6640625" style="14" hidden="1" customWidth="1"/>
    <col min="13" max="13" width="34.6640625" style="14" customWidth="1"/>
    <col min="14" max="16384" width="8.6640625" style="14"/>
  </cols>
  <sheetData>
    <row r="1" spans="1:14" s="5" customFormat="1" ht="65.5" customHeight="1" x14ac:dyDescent="0.15">
      <c r="A1" s="1" t="s">
        <v>0</v>
      </c>
      <c r="B1" s="1" t="s">
        <v>1</v>
      </c>
      <c r="C1" s="2" t="s">
        <v>2</v>
      </c>
      <c r="D1" s="2" t="s">
        <v>3</v>
      </c>
      <c r="E1" s="1" t="s">
        <v>69</v>
      </c>
      <c r="F1" s="1" t="s">
        <v>72</v>
      </c>
      <c r="G1" s="1" t="s">
        <v>4</v>
      </c>
      <c r="H1" s="2" t="s">
        <v>70</v>
      </c>
      <c r="I1" s="3" t="s">
        <v>71</v>
      </c>
      <c r="J1" s="3" t="s">
        <v>5</v>
      </c>
      <c r="K1" s="4" t="s">
        <v>6</v>
      </c>
      <c r="L1" s="2" t="s">
        <v>7</v>
      </c>
    </row>
    <row r="2" spans="1:14" ht="14" x14ac:dyDescent="0.15">
      <c r="A2" s="6">
        <v>1</v>
      </c>
      <c r="B2" s="7" t="s">
        <v>8</v>
      </c>
      <c r="C2" s="8" t="s">
        <v>9</v>
      </c>
      <c r="D2" s="9">
        <v>46030</v>
      </c>
      <c r="E2" s="7" t="s">
        <v>10</v>
      </c>
      <c r="F2" s="7" t="s">
        <v>11</v>
      </c>
      <c r="G2" s="10" t="s">
        <v>12</v>
      </c>
      <c r="H2" s="6" t="s">
        <v>13</v>
      </c>
      <c r="I2" s="11">
        <v>5025</v>
      </c>
      <c r="J2" s="11">
        <f>10900-I5</f>
        <v>5025</v>
      </c>
      <c r="K2" s="12">
        <f t="shared" ref="K2:K30" si="0">I2-J2</f>
        <v>0</v>
      </c>
      <c r="L2" s="13" t="s">
        <v>14</v>
      </c>
    </row>
    <row r="3" spans="1:14" ht="14" x14ac:dyDescent="0.15">
      <c r="A3" s="6">
        <v>2</v>
      </c>
      <c r="B3" s="7" t="s">
        <v>8</v>
      </c>
      <c r="C3" s="8" t="s">
        <v>9</v>
      </c>
      <c r="D3" s="9">
        <v>46030</v>
      </c>
      <c r="E3" s="7" t="s">
        <v>15</v>
      </c>
      <c r="F3" s="7" t="s">
        <v>16</v>
      </c>
      <c r="G3" s="10" t="s">
        <v>12</v>
      </c>
      <c r="H3" s="6" t="s">
        <v>13</v>
      </c>
      <c r="I3" s="11">
        <v>10150</v>
      </c>
      <c r="J3" s="11">
        <f>22225-I6</f>
        <v>10150</v>
      </c>
      <c r="K3" s="12">
        <f t="shared" si="0"/>
        <v>0</v>
      </c>
      <c r="L3" s="13" t="s">
        <v>14</v>
      </c>
    </row>
    <row r="4" spans="1:14" ht="14" x14ac:dyDescent="0.15">
      <c r="A4" s="6">
        <v>3</v>
      </c>
      <c r="B4" s="7" t="s">
        <v>8</v>
      </c>
      <c r="C4" s="8" t="s">
        <v>9</v>
      </c>
      <c r="D4" s="9">
        <v>46030</v>
      </c>
      <c r="E4" s="7" t="s">
        <v>17</v>
      </c>
      <c r="F4" s="7" t="s">
        <v>18</v>
      </c>
      <c r="G4" s="10" t="s">
        <v>19</v>
      </c>
      <c r="H4" s="6" t="s">
        <v>20</v>
      </c>
      <c r="I4" s="11">
        <v>42420</v>
      </c>
      <c r="J4" s="11"/>
      <c r="K4" s="11">
        <f t="shared" si="0"/>
        <v>42420</v>
      </c>
      <c r="L4" s="15">
        <v>46167</v>
      </c>
    </row>
    <row r="5" spans="1:14" ht="14" x14ac:dyDescent="0.15">
      <c r="A5" s="6">
        <v>4</v>
      </c>
      <c r="B5" s="7" t="s">
        <v>8</v>
      </c>
      <c r="C5" s="8" t="s">
        <v>9</v>
      </c>
      <c r="D5" s="9">
        <v>46030</v>
      </c>
      <c r="E5" s="7" t="s">
        <v>10</v>
      </c>
      <c r="F5" s="7" t="s">
        <v>11</v>
      </c>
      <c r="G5" s="10" t="s">
        <v>12</v>
      </c>
      <c r="H5" s="6" t="s">
        <v>13</v>
      </c>
      <c r="I5" s="11">
        <v>5875</v>
      </c>
      <c r="J5" s="11">
        <f>I5</f>
        <v>5875</v>
      </c>
      <c r="K5" s="12">
        <f t="shared" si="0"/>
        <v>0</v>
      </c>
      <c r="L5" s="13" t="s">
        <v>14</v>
      </c>
    </row>
    <row r="6" spans="1:14" ht="14" x14ac:dyDescent="0.15">
      <c r="A6" s="6">
        <v>5</v>
      </c>
      <c r="B6" s="7" t="s">
        <v>8</v>
      </c>
      <c r="C6" s="8" t="s">
        <v>9</v>
      </c>
      <c r="D6" s="9">
        <v>46030</v>
      </c>
      <c r="E6" s="7" t="s">
        <v>15</v>
      </c>
      <c r="F6" s="7" t="s">
        <v>16</v>
      </c>
      <c r="G6" s="10" t="s">
        <v>12</v>
      </c>
      <c r="H6" s="6" t="s">
        <v>13</v>
      </c>
      <c r="I6" s="11">
        <v>12075</v>
      </c>
      <c r="J6" s="11">
        <f>I6</f>
        <v>12075</v>
      </c>
      <c r="K6" s="12">
        <f t="shared" si="0"/>
        <v>0</v>
      </c>
      <c r="L6" s="13" t="s">
        <v>14</v>
      </c>
    </row>
    <row r="7" spans="1:14" ht="14" x14ac:dyDescent="0.15">
      <c r="A7" s="6">
        <v>6</v>
      </c>
      <c r="B7" s="7" t="s">
        <v>8</v>
      </c>
      <c r="C7" s="8" t="s">
        <v>9</v>
      </c>
      <c r="D7" s="9">
        <v>46030</v>
      </c>
      <c r="E7" s="7" t="s">
        <v>21</v>
      </c>
      <c r="F7" s="7" t="s">
        <v>22</v>
      </c>
      <c r="G7" s="10" t="s">
        <v>19</v>
      </c>
      <c r="H7" s="6" t="s">
        <v>20</v>
      </c>
      <c r="I7" s="11">
        <v>41470</v>
      </c>
      <c r="J7" s="11">
        <v>31104</v>
      </c>
      <c r="K7" s="11">
        <f t="shared" si="0"/>
        <v>10366</v>
      </c>
      <c r="L7" s="15">
        <v>46167</v>
      </c>
    </row>
    <row r="8" spans="1:14" ht="14" x14ac:dyDescent="0.15">
      <c r="A8" s="6">
        <v>7</v>
      </c>
      <c r="B8" s="7" t="s">
        <v>8</v>
      </c>
      <c r="C8" s="8" t="s">
        <v>9</v>
      </c>
      <c r="D8" s="9">
        <v>46030</v>
      </c>
      <c r="E8" s="7" t="s">
        <v>23</v>
      </c>
      <c r="F8" s="7" t="s">
        <v>24</v>
      </c>
      <c r="G8" s="10" t="s">
        <v>12</v>
      </c>
      <c r="H8" s="6" t="s">
        <v>13</v>
      </c>
      <c r="I8" s="11">
        <v>10700</v>
      </c>
      <c r="J8" s="11"/>
      <c r="K8" s="11">
        <f t="shared" si="0"/>
        <v>10700</v>
      </c>
      <c r="L8" s="16" t="s">
        <v>25</v>
      </c>
    </row>
    <row r="9" spans="1:14" ht="14" x14ac:dyDescent="0.15">
      <c r="A9" s="6">
        <v>8</v>
      </c>
      <c r="B9" s="7" t="s">
        <v>8</v>
      </c>
      <c r="C9" s="8" t="s">
        <v>9</v>
      </c>
      <c r="D9" s="9">
        <v>46030</v>
      </c>
      <c r="E9" s="7" t="s">
        <v>26</v>
      </c>
      <c r="F9" s="7" t="s">
        <v>27</v>
      </c>
      <c r="G9" s="10" t="s">
        <v>12</v>
      </c>
      <c r="H9" s="6" t="s">
        <v>13</v>
      </c>
      <c r="I9" s="11">
        <v>21650</v>
      </c>
      <c r="J9" s="11"/>
      <c r="K9" s="11">
        <f t="shared" si="0"/>
        <v>21650</v>
      </c>
      <c r="L9" s="16" t="s">
        <v>25</v>
      </c>
    </row>
    <row r="10" spans="1:14" ht="14" x14ac:dyDescent="0.15">
      <c r="A10" s="6">
        <v>9</v>
      </c>
      <c r="B10" s="7" t="s">
        <v>8</v>
      </c>
      <c r="C10" s="8" t="s">
        <v>9</v>
      </c>
      <c r="D10" s="9">
        <v>46030</v>
      </c>
      <c r="E10" s="7" t="s">
        <v>28</v>
      </c>
      <c r="F10" s="7" t="s">
        <v>29</v>
      </c>
      <c r="G10" s="10" t="s">
        <v>19</v>
      </c>
      <c r="H10" s="6" t="s">
        <v>20</v>
      </c>
      <c r="I10" s="11">
        <v>10080</v>
      </c>
      <c r="J10" s="11"/>
      <c r="K10" s="11">
        <f t="shared" si="0"/>
        <v>10080</v>
      </c>
      <c r="L10" s="15">
        <v>46162</v>
      </c>
    </row>
    <row r="11" spans="1:14" ht="14" x14ac:dyDescent="0.15">
      <c r="A11" s="6">
        <v>10</v>
      </c>
      <c r="B11" s="7" t="s">
        <v>8</v>
      </c>
      <c r="C11" s="8" t="s">
        <v>9</v>
      </c>
      <c r="D11" s="9">
        <v>46030</v>
      </c>
      <c r="E11" s="7" t="s">
        <v>23</v>
      </c>
      <c r="F11" s="7" t="s">
        <v>24</v>
      </c>
      <c r="G11" s="10" t="s">
        <v>12</v>
      </c>
      <c r="H11" s="6" t="s">
        <v>13</v>
      </c>
      <c r="I11" s="11">
        <v>17050</v>
      </c>
      <c r="J11" s="11"/>
      <c r="K11" s="11">
        <f t="shared" si="0"/>
        <v>17050</v>
      </c>
      <c r="L11" s="16" t="s">
        <v>25</v>
      </c>
    </row>
    <row r="12" spans="1:14" ht="14" x14ac:dyDescent="0.15">
      <c r="A12" s="6">
        <v>11</v>
      </c>
      <c r="B12" s="7" t="s">
        <v>8</v>
      </c>
      <c r="C12" s="8" t="s">
        <v>9</v>
      </c>
      <c r="D12" s="9">
        <v>46030</v>
      </c>
      <c r="E12" s="7" t="s">
        <v>26</v>
      </c>
      <c r="F12" s="7" t="s">
        <v>27</v>
      </c>
      <c r="G12" s="10" t="s">
        <v>12</v>
      </c>
      <c r="H12" s="6" t="s">
        <v>13</v>
      </c>
      <c r="I12" s="11">
        <v>34700</v>
      </c>
      <c r="J12" s="11"/>
      <c r="K12" s="11">
        <f t="shared" si="0"/>
        <v>34700</v>
      </c>
      <c r="L12" s="16" t="s">
        <v>25</v>
      </c>
    </row>
    <row r="13" spans="1:14" ht="14" x14ac:dyDescent="0.15">
      <c r="A13" s="6">
        <v>12</v>
      </c>
      <c r="B13" s="7" t="s">
        <v>8</v>
      </c>
      <c r="C13" s="8" t="s">
        <v>9</v>
      </c>
      <c r="D13" s="9">
        <v>46030</v>
      </c>
      <c r="E13" s="7" t="s">
        <v>30</v>
      </c>
      <c r="F13" s="7" t="s">
        <v>31</v>
      </c>
      <c r="G13" s="10" t="s">
        <v>19</v>
      </c>
      <c r="H13" s="6" t="s">
        <v>20</v>
      </c>
      <c r="I13" s="17">
        <v>143000</v>
      </c>
      <c r="J13" s="17">
        <v>133056</v>
      </c>
      <c r="K13" s="11">
        <f t="shared" si="0"/>
        <v>9944</v>
      </c>
      <c r="L13" s="15">
        <v>46162</v>
      </c>
      <c r="N13" s="18"/>
    </row>
    <row r="14" spans="1:14" ht="14" x14ac:dyDescent="0.15">
      <c r="A14" s="6">
        <v>13</v>
      </c>
      <c r="B14" s="7" t="s">
        <v>8</v>
      </c>
      <c r="C14" s="8" t="s">
        <v>9</v>
      </c>
      <c r="D14" s="9">
        <v>46030</v>
      </c>
      <c r="E14" s="7" t="s">
        <v>32</v>
      </c>
      <c r="F14" s="7" t="s">
        <v>33</v>
      </c>
      <c r="G14" s="10" t="s">
        <v>12</v>
      </c>
      <c r="H14" s="6" t="s">
        <v>34</v>
      </c>
      <c r="I14" s="11">
        <v>30</v>
      </c>
      <c r="J14" s="11"/>
      <c r="K14" s="11">
        <f t="shared" si="0"/>
        <v>30</v>
      </c>
      <c r="L14" s="19">
        <v>46172</v>
      </c>
    </row>
    <row r="15" spans="1:14" ht="14" x14ac:dyDescent="0.15">
      <c r="A15" s="6">
        <v>14</v>
      </c>
      <c r="B15" s="7" t="s">
        <v>8</v>
      </c>
      <c r="C15" s="8" t="s">
        <v>9</v>
      </c>
      <c r="D15" s="9">
        <v>46030</v>
      </c>
      <c r="E15" s="7" t="s">
        <v>35</v>
      </c>
      <c r="F15" s="7" t="s">
        <v>36</v>
      </c>
      <c r="G15" s="10" t="s">
        <v>12</v>
      </c>
      <c r="H15" s="6" t="s">
        <v>34</v>
      </c>
      <c r="I15" s="11">
        <v>565</v>
      </c>
      <c r="J15" s="11"/>
      <c r="K15" s="11">
        <f t="shared" si="0"/>
        <v>565</v>
      </c>
      <c r="L15" s="19">
        <v>46172</v>
      </c>
    </row>
    <row r="16" spans="1:14" ht="14" x14ac:dyDescent="0.15">
      <c r="A16" s="6">
        <v>15</v>
      </c>
      <c r="B16" s="7" t="s">
        <v>8</v>
      </c>
      <c r="C16" s="8" t="s">
        <v>9</v>
      </c>
      <c r="D16" s="9">
        <v>46030</v>
      </c>
      <c r="E16" s="7" t="s">
        <v>37</v>
      </c>
      <c r="F16" s="7" t="s">
        <v>38</v>
      </c>
      <c r="G16" s="10" t="s">
        <v>12</v>
      </c>
      <c r="H16" s="6" t="s">
        <v>34</v>
      </c>
      <c r="I16" s="11">
        <v>249</v>
      </c>
      <c r="J16" s="11"/>
      <c r="K16" s="11">
        <f t="shared" si="0"/>
        <v>249</v>
      </c>
      <c r="L16" s="19">
        <v>46172</v>
      </c>
    </row>
    <row r="17" spans="1:13" ht="14" x14ac:dyDescent="0.15">
      <c r="A17" s="6">
        <v>16</v>
      </c>
      <c r="B17" s="7" t="s">
        <v>8</v>
      </c>
      <c r="C17" s="8" t="s">
        <v>9</v>
      </c>
      <c r="D17" s="9">
        <v>46030</v>
      </c>
      <c r="E17" s="7" t="s">
        <v>32</v>
      </c>
      <c r="F17" s="7" t="s">
        <v>33</v>
      </c>
      <c r="G17" s="10" t="s">
        <v>12</v>
      </c>
      <c r="H17" s="6" t="s">
        <v>34</v>
      </c>
      <c r="I17" s="11">
        <v>91</v>
      </c>
      <c r="J17" s="11"/>
      <c r="K17" s="11">
        <f t="shared" si="0"/>
        <v>91</v>
      </c>
      <c r="L17" s="19">
        <v>46172</v>
      </c>
    </row>
    <row r="18" spans="1:13" ht="14" x14ac:dyDescent="0.15">
      <c r="A18" s="6">
        <v>17</v>
      </c>
      <c r="B18" s="7" t="s">
        <v>8</v>
      </c>
      <c r="C18" s="8" t="s">
        <v>9</v>
      </c>
      <c r="D18" s="9">
        <v>46030</v>
      </c>
      <c r="E18" s="7" t="s">
        <v>39</v>
      </c>
      <c r="F18" s="7" t="s">
        <v>40</v>
      </c>
      <c r="G18" s="10" t="s">
        <v>12</v>
      </c>
      <c r="H18" s="6" t="s">
        <v>34</v>
      </c>
      <c r="I18" s="11">
        <v>1997</v>
      </c>
      <c r="J18" s="11"/>
      <c r="K18" s="11">
        <f t="shared" si="0"/>
        <v>1997</v>
      </c>
      <c r="L18" s="19">
        <v>46172</v>
      </c>
    </row>
    <row r="19" spans="1:13" ht="14" x14ac:dyDescent="0.15">
      <c r="A19" s="6">
        <v>18</v>
      </c>
      <c r="B19" s="7" t="s">
        <v>8</v>
      </c>
      <c r="C19" s="8" t="s">
        <v>9</v>
      </c>
      <c r="D19" s="9">
        <v>46030</v>
      </c>
      <c r="E19" s="7" t="s">
        <v>37</v>
      </c>
      <c r="F19" s="7" t="s">
        <v>38</v>
      </c>
      <c r="G19" s="10" t="s">
        <v>12</v>
      </c>
      <c r="H19" s="6" t="s">
        <v>34</v>
      </c>
      <c r="I19" s="11">
        <v>761</v>
      </c>
      <c r="J19" s="11"/>
      <c r="K19" s="11">
        <f t="shared" si="0"/>
        <v>761</v>
      </c>
      <c r="L19" s="19">
        <v>46172</v>
      </c>
    </row>
    <row r="20" spans="1:13" ht="15" thickBot="1" x14ac:dyDescent="0.2">
      <c r="A20" s="6">
        <v>19</v>
      </c>
      <c r="B20" s="7" t="s">
        <v>8</v>
      </c>
      <c r="C20" s="8" t="s">
        <v>9</v>
      </c>
      <c r="D20" s="9">
        <v>46030</v>
      </c>
      <c r="E20" s="7" t="s">
        <v>28</v>
      </c>
      <c r="F20" s="7" t="s">
        <v>29</v>
      </c>
      <c r="G20" s="10" t="s">
        <v>19</v>
      </c>
      <c r="H20" s="6" t="s">
        <v>20</v>
      </c>
      <c r="I20" s="11">
        <v>85120</v>
      </c>
      <c r="J20" s="11">
        <v>47880</v>
      </c>
      <c r="K20" s="11">
        <f t="shared" si="0"/>
        <v>37240</v>
      </c>
      <c r="L20" s="15">
        <v>46162</v>
      </c>
    </row>
    <row r="21" spans="1:13" ht="14" x14ac:dyDescent="0.15">
      <c r="A21" s="6">
        <v>20</v>
      </c>
      <c r="B21" s="7" t="s">
        <v>41</v>
      </c>
      <c r="C21" s="8" t="s">
        <v>42</v>
      </c>
      <c r="D21" s="9">
        <v>46030</v>
      </c>
      <c r="E21" s="7" t="s">
        <v>43</v>
      </c>
      <c r="F21" s="7" t="s">
        <v>44</v>
      </c>
      <c r="G21" s="10" t="s">
        <v>45</v>
      </c>
      <c r="H21" s="6" t="s">
        <v>46</v>
      </c>
      <c r="I21" s="11">
        <v>17716</v>
      </c>
      <c r="J21" s="11">
        <v>2112</v>
      </c>
      <c r="K21" s="11">
        <f t="shared" si="0"/>
        <v>15604</v>
      </c>
      <c r="L21" s="20" t="s">
        <v>47</v>
      </c>
      <c r="M21" s="24" t="s">
        <v>48</v>
      </c>
    </row>
    <row r="22" spans="1:13" ht="14" x14ac:dyDescent="0.15">
      <c r="A22" s="6">
        <v>21</v>
      </c>
      <c r="B22" s="7" t="s">
        <v>41</v>
      </c>
      <c r="C22" s="8" t="s">
        <v>42</v>
      </c>
      <c r="D22" s="9">
        <v>46030</v>
      </c>
      <c r="E22" s="7" t="s">
        <v>49</v>
      </c>
      <c r="F22" s="7" t="s">
        <v>50</v>
      </c>
      <c r="G22" s="10" t="s">
        <v>12</v>
      </c>
      <c r="H22" s="6" t="s">
        <v>51</v>
      </c>
      <c r="I22" s="11">
        <v>809</v>
      </c>
      <c r="J22" s="11"/>
      <c r="K22" s="11">
        <f t="shared" si="0"/>
        <v>809</v>
      </c>
      <c r="L22" s="20" t="s">
        <v>52</v>
      </c>
      <c r="M22" s="25"/>
    </row>
    <row r="23" spans="1:13" ht="14" x14ac:dyDescent="0.15">
      <c r="A23" s="6">
        <v>22</v>
      </c>
      <c r="B23" s="7" t="s">
        <v>41</v>
      </c>
      <c r="C23" s="8" t="s">
        <v>42</v>
      </c>
      <c r="D23" s="9">
        <v>46030</v>
      </c>
      <c r="E23" s="7" t="s">
        <v>53</v>
      </c>
      <c r="F23" s="7" t="s">
        <v>54</v>
      </c>
      <c r="G23" s="10" t="s">
        <v>12</v>
      </c>
      <c r="H23" s="6" t="s">
        <v>51</v>
      </c>
      <c r="I23" s="11">
        <v>9706</v>
      </c>
      <c r="J23" s="11"/>
      <c r="K23" s="11">
        <f t="shared" si="0"/>
        <v>9706</v>
      </c>
      <c r="L23" s="20" t="s">
        <v>52</v>
      </c>
      <c r="M23" s="25"/>
    </row>
    <row r="24" spans="1:13" ht="15" thickBot="1" x14ac:dyDescent="0.2">
      <c r="A24" s="6">
        <v>23</v>
      </c>
      <c r="B24" s="7" t="s">
        <v>41</v>
      </c>
      <c r="C24" s="8" t="s">
        <v>42</v>
      </c>
      <c r="D24" s="9">
        <v>46030</v>
      </c>
      <c r="E24" s="7" t="s">
        <v>55</v>
      </c>
      <c r="F24" s="7" t="s">
        <v>56</v>
      </c>
      <c r="G24" s="10" t="s">
        <v>12</v>
      </c>
      <c r="H24" s="6" t="s">
        <v>51</v>
      </c>
      <c r="I24" s="11">
        <v>243</v>
      </c>
      <c r="J24" s="11"/>
      <c r="K24" s="11">
        <f t="shared" si="0"/>
        <v>243</v>
      </c>
      <c r="L24" s="20" t="s">
        <v>52</v>
      </c>
      <c r="M24" s="26"/>
    </row>
    <row r="25" spans="1:13" ht="14" x14ac:dyDescent="0.15">
      <c r="A25" s="6">
        <v>24</v>
      </c>
      <c r="B25" s="7" t="s">
        <v>41</v>
      </c>
      <c r="C25" s="8" t="s">
        <v>42</v>
      </c>
      <c r="D25" s="9">
        <v>46030</v>
      </c>
      <c r="E25" s="7" t="s">
        <v>57</v>
      </c>
      <c r="F25" s="7" t="s">
        <v>58</v>
      </c>
      <c r="G25" s="10" t="s">
        <v>12</v>
      </c>
      <c r="H25" s="6" t="s">
        <v>59</v>
      </c>
      <c r="I25" s="11">
        <v>717</v>
      </c>
      <c r="J25" s="11">
        <v>99</v>
      </c>
      <c r="K25" s="11">
        <f t="shared" si="0"/>
        <v>618</v>
      </c>
      <c r="L25" s="19">
        <v>46188</v>
      </c>
    </row>
    <row r="26" spans="1:13" ht="14" x14ac:dyDescent="0.15">
      <c r="A26" s="6">
        <v>25</v>
      </c>
      <c r="B26" s="7" t="s">
        <v>41</v>
      </c>
      <c r="C26" s="8" t="s">
        <v>42</v>
      </c>
      <c r="D26" s="9">
        <v>46030</v>
      </c>
      <c r="E26" s="7" t="s">
        <v>60</v>
      </c>
      <c r="F26" s="7" t="s">
        <v>61</v>
      </c>
      <c r="G26" s="10" t="s">
        <v>12</v>
      </c>
      <c r="H26" s="6" t="s">
        <v>62</v>
      </c>
      <c r="I26" s="11">
        <v>678</v>
      </c>
      <c r="J26" s="11">
        <v>96</v>
      </c>
      <c r="K26" s="11">
        <f t="shared" si="0"/>
        <v>582</v>
      </c>
      <c r="L26" s="19">
        <v>46188</v>
      </c>
    </row>
    <row r="27" spans="1:13" ht="14" x14ac:dyDescent="0.15">
      <c r="A27" s="6">
        <v>26</v>
      </c>
      <c r="B27" s="7" t="s">
        <v>41</v>
      </c>
      <c r="C27" s="8" t="s">
        <v>42</v>
      </c>
      <c r="D27" s="9">
        <v>46030</v>
      </c>
      <c r="E27" s="7" t="s">
        <v>63</v>
      </c>
      <c r="F27" s="7" t="s">
        <v>64</v>
      </c>
      <c r="G27" s="10" t="s">
        <v>12</v>
      </c>
      <c r="H27" s="6" t="s">
        <v>62</v>
      </c>
      <c r="I27" s="11">
        <v>678</v>
      </c>
      <c r="J27" s="11">
        <v>94</v>
      </c>
      <c r="K27" s="11">
        <f t="shared" si="0"/>
        <v>584</v>
      </c>
      <c r="L27" s="19">
        <v>46188</v>
      </c>
    </row>
    <row r="28" spans="1:13" ht="14" x14ac:dyDescent="0.15">
      <c r="A28" s="6">
        <v>27</v>
      </c>
      <c r="B28" s="7" t="s">
        <v>41</v>
      </c>
      <c r="C28" s="8" t="s">
        <v>42</v>
      </c>
      <c r="D28" s="9">
        <v>46030</v>
      </c>
      <c r="E28" s="7" t="s">
        <v>65</v>
      </c>
      <c r="F28" s="7" t="s">
        <v>66</v>
      </c>
      <c r="G28" s="10" t="s">
        <v>12</v>
      </c>
      <c r="H28" s="6" t="s">
        <v>62</v>
      </c>
      <c r="I28" s="11">
        <v>91</v>
      </c>
      <c r="J28" s="11">
        <v>13</v>
      </c>
      <c r="K28" s="11">
        <f t="shared" si="0"/>
        <v>78</v>
      </c>
      <c r="L28" s="19">
        <v>46188</v>
      </c>
    </row>
    <row r="29" spans="1:13" ht="14" x14ac:dyDescent="0.15">
      <c r="A29" s="6">
        <v>28</v>
      </c>
      <c r="B29" s="7" t="s">
        <v>41</v>
      </c>
      <c r="C29" s="8" t="s">
        <v>42</v>
      </c>
      <c r="D29" s="9">
        <v>46030</v>
      </c>
      <c r="E29" s="7" t="s">
        <v>67</v>
      </c>
      <c r="F29" s="7" t="s">
        <v>68</v>
      </c>
      <c r="G29" s="10" t="s">
        <v>12</v>
      </c>
      <c r="H29" s="6" t="s">
        <v>51</v>
      </c>
      <c r="I29" s="11">
        <v>106</v>
      </c>
      <c r="J29" s="11"/>
      <c r="K29" s="11">
        <f t="shared" si="0"/>
        <v>106</v>
      </c>
      <c r="L29" s="19">
        <v>46188</v>
      </c>
    </row>
    <row r="30" spans="1:13" x14ac:dyDescent="0.15">
      <c r="E30" s="14" t="s">
        <v>73</v>
      </c>
      <c r="F30" s="14" t="s">
        <v>74</v>
      </c>
      <c r="G30" s="14" t="s">
        <v>75</v>
      </c>
      <c r="H30" s="22" t="s">
        <v>13</v>
      </c>
      <c r="I30" s="23">
        <v>2000</v>
      </c>
      <c r="K30" s="23">
        <f t="shared" si="0"/>
        <v>2000</v>
      </c>
    </row>
  </sheetData>
  <autoFilter ref="A1:L29" xr:uid="{00000000-0009-0000-0000-000001000000}"/>
  <mergeCells count="1">
    <mergeCell ref="M21:M24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Sahadevan</dc:creator>
  <cp:lastModifiedBy>Johnson Andrew</cp:lastModifiedBy>
  <dcterms:created xsi:type="dcterms:W3CDTF">2026-05-19T08:59:26Z</dcterms:created>
  <dcterms:modified xsi:type="dcterms:W3CDTF">2026-05-27T21:16:17Z</dcterms:modified>
</cp:coreProperties>
</file>